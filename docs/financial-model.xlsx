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<sst xmlns="http://schemas.openxmlformats.org/spreadsheetml/2006/main" count="20" uniqueCount="20">
  <si>
    <t>Бап</t>
  </si>
  <si>
    <t>1-жыл</t>
  </si>
  <si>
    <t>2-жыл</t>
  </si>
  <si>
    <t>3-жыл</t>
  </si>
  <si>
    <t>Барлығы</t>
  </si>
  <si>
    <t>Әзірлеу</t>
  </si>
  <si>
    <t>Инфрақұрылым</t>
  </si>
  <si>
    <t>Лицензиялар</t>
  </si>
  <si>
    <t>Қолдау</t>
  </si>
  <si>
    <t>Оқыту</t>
  </si>
  <si>
    <t>Интеграциялар</t>
  </si>
  <si>
    <t>Пайдаланудан шығару</t>
  </si>
  <si>
    <t>TCO</t>
  </si>
  <si>
    <t>Пайда (3 жылда)</t>
  </si>
  <si>
    <t>Шығын (TCO)</t>
  </si>
  <si>
    <t>ROI (%)</t>
  </si>
  <si>
    <t>Өтелу мерзімі (ай)</t>
  </si>
  <si>
    <t>A</t>
  </si>
  <si>
    <t>B</t>
  </si>
  <si>
    <t>NPV (дисконт 15%)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</si>
</sst>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F1115"/>
      <name val="Quote-cjk-patch"/>
    </font>
    <font>
      <b/>
      <sz val="12.0"/>
      <color rgb="FF0F1115"/>
      <name val="Quote-cjk-patch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2000000.0</v>
      </c>
      <c r="C2" s="1">
        <v>0.0</v>
      </c>
      <c r="D2" s="1">
        <v>0.0</v>
      </c>
      <c r="E2" s="2">
        <f t="shared" ref="E2:E8" si="1">B2+C2+D2</f>
        <v>2000000</v>
      </c>
    </row>
    <row r="3">
      <c r="A3" s="1" t="s">
        <v>6</v>
      </c>
      <c r="B3" s="1">
        <v>240000.0</v>
      </c>
      <c r="C3" s="1">
        <v>240000.0</v>
      </c>
      <c r="D3" s="1">
        <v>240000.0</v>
      </c>
      <c r="E3" s="2">
        <f t="shared" si="1"/>
        <v>720000</v>
      </c>
    </row>
    <row r="4">
      <c r="A4" s="1" t="s">
        <v>7</v>
      </c>
      <c r="B4" s="1">
        <v>0.0</v>
      </c>
      <c r="C4" s="1">
        <v>0.0</v>
      </c>
      <c r="D4" s="1">
        <v>0.0</v>
      </c>
      <c r="E4" s="2">
        <f t="shared" si="1"/>
        <v>0</v>
      </c>
    </row>
    <row r="5">
      <c r="A5" s="1" t="s">
        <v>8</v>
      </c>
      <c r="B5" s="1">
        <v>300000.0</v>
      </c>
      <c r="C5" s="1">
        <v>300000.0</v>
      </c>
      <c r="D5" s="1">
        <v>300000.0</v>
      </c>
      <c r="E5" s="2">
        <f t="shared" si="1"/>
        <v>900000</v>
      </c>
    </row>
    <row r="6">
      <c r="A6" s="1" t="s">
        <v>9</v>
      </c>
      <c r="B6" s="1">
        <v>100000.0</v>
      </c>
      <c r="C6" s="1">
        <v>0.0</v>
      </c>
      <c r="D6" s="1">
        <v>0.0</v>
      </c>
      <c r="E6" s="2">
        <f t="shared" si="1"/>
        <v>100000</v>
      </c>
    </row>
    <row r="7">
      <c r="A7" s="1" t="s">
        <v>10</v>
      </c>
      <c r="B7" s="1">
        <v>150000.0</v>
      </c>
      <c r="C7" s="1">
        <v>0.0</v>
      </c>
      <c r="D7" s="1">
        <v>0.0</v>
      </c>
      <c r="E7" s="2">
        <f t="shared" si="1"/>
        <v>150000</v>
      </c>
    </row>
    <row r="8">
      <c r="A8" s="1" t="s">
        <v>11</v>
      </c>
      <c r="B8" s="1">
        <v>0.0</v>
      </c>
      <c r="C8" s="1">
        <v>0.0</v>
      </c>
      <c r="D8" s="1">
        <v>50000.0</v>
      </c>
      <c r="E8" s="2">
        <f t="shared" si="1"/>
        <v>50000</v>
      </c>
    </row>
    <row r="9">
      <c r="A9" s="1" t="s">
        <v>12</v>
      </c>
      <c r="B9" s="2"/>
      <c r="C9" s="2"/>
      <c r="D9" s="2"/>
      <c r="E9" s="2">
        <f>SUM(E2:E8)</f>
        <v>3920000</v>
      </c>
    </row>
    <row r="11">
      <c r="A11" s="1" t="s">
        <v>13</v>
      </c>
      <c r="B11" s="1">
        <v>5400000.0</v>
      </c>
    </row>
    <row r="12">
      <c r="A12" s="1" t="s">
        <v>14</v>
      </c>
      <c r="B12" s="2">
        <f>E9</f>
        <v>3920000</v>
      </c>
    </row>
    <row r="13">
      <c r="A13" s="1" t="s">
        <v>15</v>
      </c>
      <c r="B13" s="2">
        <f>(B11-B12)/B12*100</f>
        <v>37.75510204</v>
      </c>
    </row>
    <row r="14">
      <c r="A14" s="1" t="s">
        <v>16</v>
      </c>
      <c r="B14" s="2">
        <f>B12/(B11/36)</f>
        <v>26.13333333</v>
      </c>
    </row>
    <row r="16">
      <c r="A16" s="3" t="s">
        <v>17</v>
      </c>
      <c r="B16" s="3" t="s">
        <v>18</v>
      </c>
    </row>
    <row r="17">
      <c r="A17" s="1" t="s">
        <v>19</v>
      </c>
      <c r="B17" s="2">
        <f>(1800000/1.15)+(1800000/1.3225)+(1800000/1.520875)-2000000</f>
        <v>2109805.211</v>
      </c>
    </row>
  </sheetData>
  <drawing r:id="rId1"/>
</worksheet>
</file>